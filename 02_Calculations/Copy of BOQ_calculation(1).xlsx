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istedu-my.sharepoint.com/personal/202216049_mist_ac_bd/Documents/Desktop/AUTOCAD_RAISUL_RAKID_SADMAN/Load Calc/"/>
    </mc:Choice>
  </mc:AlternateContent>
  <xr:revisionPtr revIDLastSave="53" documentId="8_{69284E6C-3099-4783-BC38-EA2FF345CAA4}" xr6:coauthVersionLast="47" xr6:coauthVersionMax="47" xr10:uidLastSave="{1819AF84-0527-4AF7-8B96-374806195CB9}"/>
  <bookViews>
    <workbookView xWindow="-120" yWindow="-120" windowWidth="29040" windowHeight="15990" xr2:uid="{1E1282A2-988D-47F8-AE63-01731DEC8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" i="1" l="1"/>
  <c r="F26" i="1"/>
  <c r="F27" i="1"/>
  <c r="F34" i="1"/>
  <c r="F35" i="1"/>
  <c r="F36" i="1"/>
  <c r="F37" i="1"/>
  <c r="F38" i="1"/>
  <c r="F39" i="1"/>
  <c r="F40" i="1"/>
  <c r="F21" i="1"/>
  <c r="F20" i="1"/>
  <c r="F25" i="1"/>
  <c r="F52" i="1"/>
  <c r="F53" i="1"/>
  <c r="F49" i="1"/>
  <c r="F29" i="1"/>
  <c r="F45" i="1"/>
  <c r="F46" i="1"/>
  <c r="F42" i="1"/>
  <c r="F32" i="1"/>
  <c r="F33" i="1"/>
  <c r="F24" i="1"/>
  <c r="F16" i="1"/>
  <c r="F17" i="1"/>
  <c r="F18" i="1"/>
  <c r="F19" i="1"/>
  <c r="F13" i="1"/>
  <c r="F12" i="1"/>
  <c r="F11" i="1"/>
  <c r="F10" i="1"/>
  <c r="F5" i="1"/>
  <c r="F6" i="1"/>
  <c r="F7" i="1"/>
  <c r="F4" i="1"/>
</calcChain>
</file>

<file path=xl/sharedStrings.xml><?xml version="1.0" encoding="utf-8"?>
<sst xmlns="http://schemas.openxmlformats.org/spreadsheetml/2006/main" count="78" uniqueCount="52">
  <si>
    <t>Item No</t>
  </si>
  <si>
    <t>Description</t>
  </si>
  <si>
    <t>Unit</t>
  </si>
  <si>
    <t>Quantity</t>
  </si>
  <si>
    <t>Unit Rate(BDT)</t>
  </si>
  <si>
    <t>Total Amount</t>
  </si>
  <si>
    <t>Cable works</t>
  </si>
  <si>
    <t>Meter</t>
  </si>
  <si>
    <t>Cable works (ECC)</t>
  </si>
  <si>
    <t>Circuit Breakers</t>
  </si>
  <si>
    <t>Each</t>
  </si>
  <si>
    <t>Air condition</t>
  </si>
  <si>
    <t>Lights</t>
  </si>
  <si>
    <t>Fans</t>
  </si>
  <si>
    <t>1440 mm2 cealing fan</t>
  </si>
  <si>
    <t>Sokets</t>
  </si>
  <si>
    <t>2 pin 5A socket</t>
  </si>
  <si>
    <t>3 Pin 13 A socket</t>
  </si>
  <si>
    <t>Busbar</t>
  </si>
  <si>
    <t>meter</t>
  </si>
  <si>
    <t>Switchs</t>
  </si>
  <si>
    <t>1 way 4 gang 10A switch</t>
  </si>
  <si>
    <t>Conduit</t>
  </si>
  <si>
    <t>Minimum inner Dia. 20 mm &amp; minimum wall thickness 1.5 mm.</t>
  </si>
  <si>
    <t>Minimum inner Dia. 25 mm &amp; minimum wall thickness 1.5 mm.</t>
  </si>
  <si>
    <t>4x1C-4mm2 NYY</t>
  </si>
  <si>
    <t>4x1C-25mm2 NYY(Bizli Cables)</t>
  </si>
  <si>
    <t>4x1C-50mm2 NYY(BRB Cables)</t>
  </si>
  <si>
    <t>1x1c-16mm2 BYA</t>
  </si>
  <si>
    <t xml:space="preserve"> 1x1c-4mm2 BYA</t>
  </si>
  <si>
    <t>1x1c-4mm2 BYA</t>
  </si>
  <si>
    <t xml:space="preserve"> 160A TP MCCB</t>
  </si>
  <si>
    <t xml:space="preserve"> 80A DP MCB</t>
  </si>
  <si>
    <t>32A DP MCB</t>
  </si>
  <si>
    <t>Central AC</t>
  </si>
  <si>
    <t>1.5 TON AC</t>
  </si>
  <si>
    <t>10A DP MCB</t>
  </si>
  <si>
    <t>20A TP MCB</t>
  </si>
  <si>
    <t>300A (20x10)mm2 Cu Busbar</t>
  </si>
  <si>
    <t>Tube light (TL)</t>
  </si>
  <si>
    <t>Mirror light (M)</t>
  </si>
  <si>
    <t>Stage Light(StL)</t>
  </si>
  <si>
    <t>Stage Spot Light(SL)</t>
  </si>
  <si>
    <t>Garden light (G)</t>
  </si>
  <si>
    <t>Door Light(D)</t>
  </si>
  <si>
    <t xml:space="preserve">Ceiling light (CL) </t>
  </si>
  <si>
    <t>Flat LED Light (FL)</t>
  </si>
  <si>
    <t>Exhibition Spot Light (SP)</t>
  </si>
  <si>
    <t>Total Cost</t>
  </si>
  <si>
    <t>BOQ Calculation for Auditorium</t>
  </si>
  <si>
    <t>Sound System</t>
  </si>
  <si>
    <t>Wall Mounted Speaker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</si>
</sst>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1"/>
      <name val="Times"/>
      <family val="1"/>
    </font>
    <font>
      <b/>
      <sz val="11"/>
      <color theme="1"/>
      <name val="Times"/>
      <family val="1"/>
    </font>
    <font>
      <sz val="11"/>
      <color rgb="FFFF0000"/>
      <name val="Times"/>
      <family val="1"/>
    </font>
    <font>
      <b/>
      <sz val="12"/>
      <color theme="1"/>
      <name val="Times"/>
      <family val="1"/>
    </font>
    <font>
      <sz val="9.5"/>
      <name val="Times"/>
      <family val="1"/>
    </font>
    <font>
      <sz val="11"/>
      <name val="Times"/>
      <family val="1"/>
    </font>
    <font>
      <b/>
      <sz val="16"/>
      <color theme="1"/>
      <name val="Times"/>
      <family val="1"/>
    </font>
    <font>
      <b/>
      <sz val="12"/>
      <name val="Times"/>
      <family val="1"/>
    </font>
    <font>
      <b/>
      <sz val="11"/>
      <name val="Times"/>
      <family val="1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25">
    <xf numFmtId="0" fontId="0" fillId="0" borderId="0" xfId="0"/>
    <xf numFmtId="0" fontId="3" fillId="0" borderId="1" xfId="0" applyFont="1" applyBorder="1"/>
    <xf numFmtId="43" fontId="3" fillId="0" borderId="1" xfId="1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43" fontId="6" fillId="0" borderId="1" xfId="1" applyFont="1" applyBorder="1"/>
    <xf numFmtId="0" fontId="3" fillId="0" borderId="0" xfId="0" applyFont="1"/>
    <xf numFmtId="0" fontId="7" fillId="0" borderId="1" xfId="2" applyFont="1" applyBorder="1" applyAlignment="1">
      <alignment horizontal="center" vertical="top" wrapText="1"/>
    </xf>
    <xf numFmtId="43" fontId="3" fillId="0" borderId="0" xfId="1" applyFont="1"/>
    <xf numFmtId="43" fontId="5" fillId="0" borderId="0" xfId="1" applyFont="1"/>
    <xf numFmtId="43" fontId="10" fillId="3" borderId="1" xfId="1" applyFont="1" applyFill="1" applyBorder="1"/>
    <xf numFmtId="43" fontId="8" fillId="3" borderId="1" xfId="1" applyFont="1" applyFill="1" applyBorder="1"/>
    <xf numFmtId="43" fontId="5" fillId="3" borderId="1" xfId="1" applyFont="1" applyFill="1" applyBorder="1"/>
    <xf numFmtId="0" fontId="6" fillId="4" borderId="1" xfId="0" applyFont="1" applyFill="1" applyBorder="1" applyAlignment="1">
      <alignment horizontal="center"/>
    </xf>
    <xf numFmtId="0" fontId="3" fillId="4" borderId="1" xfId="0" applyFont="1" applyFill="1" applyBorder="1"/>
    <xf numFmtId="0" fontId="3" fillId="4" borderId="1" xfId="0" applyFont="1" applyFill="1" applyBorder="1" applyAlignment="1">
      <alignment horizontal="left"/>
    </xf>
    <xf numFmtId="0" fontId="8" fillId="4" borderId="1" xfId="2" applyFont="1" applyFill="1" applyBorder="1" applyAlignment="1">
      <alignment horizontal="left" vertical="top" wrapText="1"/>
    </xf>
    <xf numFmtId="0" fontId="4" fillId="0" borderId="1" xfId="0" applyFont="1" applyBorder="1"/>
    <xf numFmtId="43" fontId="11" fillId="3" borderId="1" xfId="1" applyFont="1" applyFill="1" applyBorder="1"/>
    <xf numFmtId="0" fontId="9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4" fillId="0" borderId="5" xfId="0" applyFont="1" applyBorder="1" applyAlignment="1">
      <alignment horizontal="right"/>
    </xf>
    <xf numFmtId="0" fontId="4" fillId="0" borderId="1" xfId="0" applyFont="1" applyFill="1" applyBorder="1"/>
  </cellXfs>
  <cellStyles count="3">
    <cellStyle name="Comma" xfId="1" builtinId="3"/>
    <cellStyle name="Normal" xfId="0" builtinId="0"/>
    <cellStyle name="Normal 2" xfId="2" xr:uid="{F32B4680-5242-4D50-8DC4-159F54EE23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F36A-96FB-42D2-AC7C-63E44E9CBA49}">
  <sheetPr>
    <pageSetUpPr fitToPage="1"/>
  </sheetPr>
  <dimension ref="A1:F56"/>
  <sheetViews>
    <sheetView tabSelected="1" topLeftCell="A28" zoomScale="115" zoomScaleNormal="115" workbookViewId="0">
      <selection activeCell="E64" sqref="E64"/>
    </sheetView>
  </sheetViews>
  <sheetFormatPr defaultRowHeight="15" x14ac:dyDescent="0.25"/>
  <cols>
    <col min="1" max="1" width="8.28515625" style="6" bestFit="1" customWidth="1"/>
    <col min="2" max="2" width="55.7109375" style="6" bestFit="1" customWidth="1"/>
    <col min="3" max="3" width="6.42578125" style="6" bestFit="1" customWidth="1"/>
    <col min="4" max="4" width="9.7109375" style="6" bestFit="1" customWidth="1"/>
    <col min="5" max="5" width="18" style="8" customWidth="1"/>
    <col min="6" max="6" width="14.7109375" style="9" bestFit="1" customWidth="1"/>
    <col min="7" max="16384" width="9.140625" style="6"/>
  </cols>
  <sheetData>
    <row r="1" spans="1:6" ht="20.25" x14ac:dyDescent="0.3">
      <c r="A1" s="19" t="s">
        <v>49</v>
      </c>
      <c r="B1" s="20"/>
      <c r="C1" s="20"/>
      <c r="D1" s="20"/>
      <c r="E1" s="20"/>
      <c r="F1" s="20"/>
    </row>
    <row r="2" spans="1:6" ht="15.75" x14ac:dyDescent="0.25">
      <c r="A2" s="3" t="s">
        <v>0</v>
      </c>
      <c r="B2" s="13" t="s">
        <v>1</v>
      </c>
      <c r="C2" s="4" t="s">
        <v>2</v>
      </c>
      <c r="D2" s="4" t="s">
        <v>3</v>
      </c>
      <c r="E2" s="5" t="s">
        <v>4</v>
      </c>
      <c r="F2" s="10" t="s">
        <v>5</v>
      </c>
    </row>
    <row r="3" spans="1:6" x14ac:dyDescent="0.25">
      <c r="A3" s="1">
        <v>1</v>
      </c>
      <c r="B3" s="17" t="s">
        <v>6</v>
      </c>
      <c r="C3" s="1"/>
      <c r="D3" s="1"/>
      <c r="E3" s="2"/>
      <c r="F3" s="11"/>
    </row>
    <row r="4" spans="1:6" x14ac:dyDescent="0.25">
      <c r="A4" s="1"/>
      <c r="B4" s="14" t="s">
        <v>27</v>
      </c>
      <c r="C4" s="1" t="s">
        <v>7</v>
      </c>
      <c r="D4" s="1">
        <v>176</v>
      </c>
      <c r="E4" s="2">
        <v>3383.83</v>
      </c>
      <c r="F4" s="11">
        <f>E4*D4</f>
        <v>595554.07999999996</v>
      </c>
    </row>
    <row r="5" spans="1:6" x14ac:dyDescent="0.25">
      <c r="A5" s="1"/>
      <c r="B5" s="14" t="s">
        <v>26</v>
      </c>
      <c r="C5" s="1" t="s">
        <v>7</v>
      </c>
      <c r="D5" s="1">
        <v>1250</v>
      </c>
      <c r="E5" s="2">
        <v>2116.4</v>
      </c>
      <c r="F5" s="11">
        <f t="shared" ref="F5:F7" si="0">E5*D5</f>
        <v>2645500</v>
      </c>
    </row>
    <row r="6" spans="1:6" x14ac:dyDescent="0.25">
      <c r="A6" s="1"/>
      <c r="B6" s="14" t="s">
        <v>25</v>
      </c>
      <c r="C6" s="1" t="s">
        <v>7</v>
      </c>
      <c r="D6" s="1">
        <v>321</v>
      </c>
      <c r="E6" s="2">
        <v>415.4</v>
      </c>
      <c r="F6" s="11">
        <f t="shared" si="0"/>
        <v>133343.4</v>
      </c>
    </row>
    <row r="7" spans="1:6" x14ac:dyDescent="0.25">
      <c r="A7" s="1"/>
      <c r="B7" s="14" t="s">
        <v>25</v>
      </c>
      <c r="C7" s="1" t="s">
        <v>7</v>
      </c>
      <c r="D7" s="1">
        <v>66</v>
      </c>
      <c r="E7" s="2">
        <v>415.4</v>
      </c>
      <c r="F7" s="11">
        <f t="shared" si="0"/>
        <v>27416.399999999998</v>
      </c>
    </row>
    <row r="8" spans="1:6" x14ac:dyDescent="0.25">
      <c r="A8" s="1"/>
      <c r="B8" s="14"/>
      <c r="C8" s="1"/>
      <c r="D8" s="1"/>
      <c r="E8" s="2"/>
      <c r="F8" s="11"/>
    </row>
    <row r="9" spans="1:6" x14ac:dyDescent="0.25">
      <c r="A9" s="1">
        <v>2</v>
      </c>
      <c r="B9" s="17" t="s">
        <v>8</v>
      </c>
      <c r="C9" s="1"/>
      <c r="D9" s="1"/>
      <c r="E9" s="2"/>
      <c r="F9" s="11"/>
    </row>
    <row r="10" spans="1:6" x14ac:dyDescent="0.25">
      <c r="A10" s="1"/>
      <c r="B10" s="14" t="s">
        <v>28</v>
      </c>
      <c r="C10" s="1" t="s">
        <v>7</v>
      </c>
      <c r="D10" s="1">
        <v>180</v>
      </c>
      <c r="E10" s="2">
        <v>196.4</v>
      </c>
      <c r="F10" s="11">
        <f>E10*D10</f>
        <v>35352</v>
      </c>
    </row>
    <row r="11" spans="1:6" x14ac:dyDescent="0.25">
      <c r="A11" s="1"/>
      <c r="B11" s="14" t="s">
        <v>28</v>
      </c>
      <c r="C11" s="1" t="s">
        <v>7</v>
      </c>
      <c r="D11" s="1">
        <v>1270</v>
      </c>
      <c r="E11" s="2">
        <v>196.4</v>
      </c>
      <c r="F11" s="11">
        <f t="shared" ref="F11:F32" si="1">E11*D11</f>
        <v>249428</v>
      </c>
    </row>
    <row r="12" spans="1:6" x14ac:dyDescent="0.25">
      <c r="A12" s="1"/>
      <c r="B12" s="14" t="s">
        <v>29</v>
      </c>
      <c r="C12" s="1" t="s">
        <v>7</v>
      </c>
      <c r="D12" s="1">
        <v>330</v>
      </c>
      <c r="E12" s="2">
        <v>25.58</v>
      </c>
      <c r="F12" s="11">
        <f t="shared" si="1"/>
        <v>8441.4</v>
      </c>
    </row>
    <row r="13" spans="1:6" x14ac:dyDescent="0.25">
      <c r="A13" s="1"/>
      <c r="B13" s="14" t="s">
        <v>30</v>
      </c>
      <c r="C13" s="1" t="s">
        <v>7</v>
      </c>
      <c r="D13" s="1">
        <v>75</v>
      </c>
      <c r="E13" s="2">
        <v>25.58</v>
      </c>
      <c r="F13" s="11">
        <f t="shared" si="1"/>
        <v>1918.4999999999998</v>
      </c>
    </row>
    <row r="14" spans="1:6" x14ac:dyDescent="0.25">
      <c r="A14" s="1"/>
      <c r="B14" s="14"/>
      <c r="C14" s="1"/>
      <c r="D14" s="1"/>
      <c r="E14" s="2"/>
      <c r="F14" s="11"/>
    </row>
    <row r="15" spans="1:6" x14ac:dyDescent="0.25">
      <c r="A15" s="1">
        <v>3</v>
      </c>
      <c r="B15" s="17" t="s">
        <v>9</v>
      </c>
      <c r="C15" s="1"/>
      <c r="D15" s="1"/>
      <c r="E15" s="2"/>
      <c r="F15" s="11"/>
    </row>
    <row r="16" spans="1:6" x14ac:dyDescent="0.25">
      <c r="A16" s="1"/>
      <c r="B16" s="15" t="s">
        <v>31</v>
      </c>
      <c r="C16" s="1" t="s">
        <v>10</v>
      </c>
      <c r="D16" s="1">
        <v>3</v>
      </c>
      <c r="E16" s="2">
        <v>7500</v>
      </c>
      <c r="F16" s="11">
        <f t="shared" si="1"/>
        <v>22500</v>
      </c>
    </row>
    <row r="17" spans="1:6" x14ac:dyDescent="0.25">
      <c r="A17" s="1"/>
      <c r="B17" s="14" t="s">
        <v>32</v>
      </c>
      <c r="C17" s="1" t="s">
        <v>10</v>
      </c>
      <c r="D17" s="1">
        <v>15</v>
      </c>
      <c r="E17" s="2">
        <v>1200</v>
      </c>
      <c r="F17" s="11">
        <f t="shared" si="1"/>
        <v>18000</v>
      </c>
    </row>
    <row r="18" spans="1:6" x14ac:dyDescent="0.25">
      <c r="A18" s="1"/>
      <c r="B18" s="14" t="s">
        <v>33</v>
      </c>
      <c r="C18" s="1" t="s">
        <v>10</v>
      </c>
      <c r="D18" s="1">
        <v>15</v>
      </c>
      <c r="E18" s="2">
        <v>310</v>
      </c>
      <c r="F18" s="11">
        <f t="shared" si="1"/>
        <v>4650</v>
      </c>
    </row>
    <row r="19" spans="1:6" x14ac:dyDescent="0.25">
      <c r="A19" s="1"/>
      <c r="B19" s="14" t="s">
        <v>33</v>
      </c>
      <c r="C19" s="1" t="s">
        <v>10</v>
      </c>
      <c r="D19" s="1">
        <v>14</v>
      </c>
      <c r="E19" s="2">
        <v>310</v>
      </c>
      <c r="F19" s="11">
        <f t="shared" si="1"/>
        <v>4340</v>
      </c>
    </row>
    <row r="20" spans="1:6" x14ac:dyDescent="0.25">
      <c r="A20" s="1"/>
      <c r="B20" s="14" t="s">
        <v>36</v>
      </c>
      <c r="C20" s="1" t="s">
        <v>10</v>
      </c>
      <c r="D20" s="1">
        <v>11</v>
      </c>
      <c r="E20" s="2">
        <v>260</v>
      </c>
      <c r="F20" s="11">
        <f t="shared" si="1"/>
        <v>2860</v>
      </c>
    </row>
    <row r="21" spans="1:6" x14ac:dyDescent="0.25">
      <c r="A21" s="1"/>
      <c r="B21" s="14" t="s">
        <v>37</v>
      </c>
      <c r="C21" s="1" t="s">
        <v>10</v>
      </c>
      <c r="D21" s="1">
        <v>14</v>
      </c>
      <c r="E21" s="2">
        <v>427</v>
      </c>
      <c r="F21" s="11">
        <f t="shared" si="1"/>
        <v>5978</v>
      </c>
    </row>
    <row r="22" spans="1:6" x14ac:dyDescent="0.25">
      <c r="A22" s="1"/>
      <c r="B22" s="14"/>
      <c r="C22" s="1"/>
      <c r="D22" s="1"/>
      <c r="E22" s="2"/>
      <c r="F22" s="11"/>
    </row>
    <row r="23" spans="1:6" x14ac:dyDescent="0.25">
      <c r="A23" s="1">
        <v>4</v>
      </c>
      <c r="B23" s="17" t="s">
        <v>11</v>
      </c>
      <c r="C23" s="1"/>
      <c r="D23" s="1"/>
      <c r="E23" s="2"/>
      <c r="F23" s="11"/>
    </row>
    <row r="24" spans="1:6" x14ac:dyDescent="0.25">
      <c r="A24" s="1"/>
      <c r="B24" s="14" t="s">
        <v>34</v>
      </c>
      <c r="C24" s="1" t="s">
        <v>10</v>
      </c>
      <c r="D24" s="1">
        <v>13</v>
      </c>
      <c r="E24" s="2">
        <v>264000</v>
      </c>
      <c r="F24" s="11">
        <f t="shared" si="1"/>
        <v>3432000</v>
      </c>
    </row>
    <row r="25" spans="1:6" x14ac:dyDescent="0.25">
      <c r="A25" s="1"/>
      <c r="B25" s="14" t="s">
        <v>35</v>
      </c>
      <c r="C25" s="1" t="s">
        <v>10</v>
      </c>
      <c r="D25" s="1">
        <v>4</v>
      </c>
      <c r="E25" s="2">
        <v>57900</v>
      </c>
      <c r="F25" s="11">
        <f t="shared" ref="F25:F27" si="2">E25*D25</f>
        <v>231600</v>
      </c>
    </row>
    <row r="26" spans="1:6" x14ac:dyDescent="0.25">
      <c r="A26" s="1">
        <v>5</v>
      </c>
      <c r="B26" s="24" t="s">
        <v>50</v>
      </c>
      <c r="C26" s="1"/>
      <c r="D26" s="1"/>
      <c r="E26" s="2"/>
      <c r="F26" s="11">
        <f t="shared" si="2"/>
        <v>0</v>
      </c>
    </row>
    <row r="27" spans="1:6" x14ac:dyDescent="0.25">
      <c r="A27" s="1"/>
      <c r="B27" s="14" t="s">
        <v>51</v>
      </c>
      <c r="C27" s="1" t="s">
        <v>10</v>
      </c>
      <c r="D27" s="1">
        <v>5</v>
      </c>
      <c r="E27" s="2">
        <v>14000</v>
      </c>
      <c r="F27" s="11">
        <f t="shared" si="2"/>
        <v>70000</v>
      </c>
    </row>
    <row r="28" spans="1:6" x14ac:dyDescent="0.25">
      <c r="A28" s="1">
        <v>6</v>
      </c>
      <c r="B28" s="17" t="s">
        <v>18</v>
      </c>
      <c r="C28" s="1"/>
      <c r="D28" s="1"/>
      <c r="E28" s="2"/>
      <c r="F28" s="11"/>
    </row>
    <row r="29" spans="1:6" x14ac:dyDescent="0.25">
      <c r="A29" s="1"/>
      <c r="B29" s="14" t="s">
        <v>38</v>
      </c>
      <c r="C29" s="1" t="s">
        <v>19</v>
      </c>
      <c r="D29" s="1">
        <v>6</v>
      </c>
      <c r="E29" s="2">
        <v>2700</v>
      </c>
      <c r="F29" s="11">
        <f t="shared" si="1"/>
        <v>16200</v>
      </c>
    </row>
    <row r="30" spans="1:6" x14ac:dyDescent="0.25">
      <c r="A30" s="1"/>
      <c r="B30" s="14"/>
      <c r="C30" s="1"/>
      <c r="D30" s="1"/>
      <c r="E30" s="2"/>
      <c r="F30" s="11"/>
    </row>
    <row r="31" spans="1:6" x14ac:dyDescent="0.25">
      <c r="A31" s="1">
        <v>7</v>
      </c>
      <c r="B31" s="17" t="s">
        <v>12</v>
      </c>
      <c r="C31" s="1"/>
      <c r="D31" s="1"/>
      <c r="E31" s="2"/>
      <c r="F31" s="11"/>
    </row>
    <row r="32" spans="1:6" x14ac:dyDescent="0.25">
      <c r="A32" s="1"/>
      <c r="B32" s="14" t="s">
        <v>39</v>
      </c>
      <c r="C32" s="1" t="s">
        <v>10</v>
      </c>
      <c r="D32" s="1">
        <v>15</v>
      </c>
      <c r="E32" s="2">
        <v>1220</v>
      </c>
      <c r="F32" s="11">
        <f t="shared" si="1"/>
        <v>18300</v>
      </c>
    </row>
    <row r="33" spans="1:6" x14ac:dyDescent="0.25">
      <c r="A33" s="1"/>
      <c r="B33" s="14" t="s">
        <v>40</v>
      </c>
      <c r="C33" s="1" t="s">
        <v>10</v>
      </c>
      <c r="D33" s="1">
        <v>14</v>
      </c>
      <c r="E33" s="2">
        <v>620</v>
      </c>
      <c r="F33" s="11">
        <f>E33*D33</f>
        <v>8680</v>
      </c>
    </row>
    <row r="34" spans="1:6" x14ac:dyDescent="0.25">
      <c r="A34" s="1"/>
      <c r="B34" s="14" t="s">
        <v>42</v>
      </c>
      <c r="C34" s="1"/>
      <c r="D34" s="1">
        <v>3</v>
      </c>
      <c r="E34" s="2">
        <v>11577</v>
      </c>
      <c r="F34" s="11">
        <f t="shared" ref="F34:F40" si="3">E34*D34</f>
        <v>34731</v>
      </c>
    </row>
    <row r="35" spans="1:6" x14ac:dyDescent="0.25">
      <c r="A35" s="1"/>
      <c r="B35" s="14" t="s">
        <v>43</v>
      </c>
      <c r="C35" s="1"/>
      <c r="D35" s="1">
        <v>3</v>
      </c>
      <c r="E35" s="2">
        <v>389</v>
      </c>
      <c r="F35" s="11">
        <f t="shared" si="3"/>
        <v>1167</v>
      </c>
    </row>
    <row r="36" spans="1:6" x14ac:dyDescent="0.25">
      <c r="A36" s="1"/>
      <c r="B36" s="14" t="s">
        <v>44</v>
      </c>
      <c r="C36" s="1"/>
      <c r="D36" s="1">
        <v>2</v>
      </c>
      <c r="E36" s="2">
        <v>189</v>
      </c>
      <c r="F36" s="11">
        <f t="shared" si="3"/>
        <v>378</v>
      </c>
    </row>
    <row r="37" spans="1:6" x14ac:dyDescent="0.25">
      <c r="A37" s="1"/>
      <c r="B37" s="14" t="s">
        <v>47</v>
      </c>
      <c r="C37" s="1"/>
      <c r="D37" s="1">
        <v>3</v>
      </c>
      <c r="E37" s="2">
        <v>621</v>
      </c>
      <c r="F37" s="11">
        <f t="shared" si="3"/>
        <v>1863</v>
      </c>
    </row>
    <row r="38" spans="1:6" x14ac:dyDescent="0.25">
      <c r="A38" s="1"/>
      <c r="B38" s="14" t="s">
        <v>46</v>
      </c>
      <c r="C38" s="1"/>
      <c r="D38" s="1">
        <v>10</v>
      </c>
      <c r="E38" s="2">
        <v>2400</v>
      </c>
      <c r="F38" s="11">
        <f t="shared" si="3"/>
        <v>24000</v>
      </c>
    </row>
    <row r="39" spans="1:6" x14ac:dyDescent="0.25">
      <c r="A39" s="1"/>
      <c r="B39" s="14" t="s">
        <v>45</v>
      </c>
      <c r="C39" s="1"/>
      <c r="D39" s="1">
        <v>35</v>
      </c>
      <c r="E39" s="2">
        <v>1450</v>
      </c>
      <c r="F39" s="11">
        <f t="shared" si="3"/>
        <v>50750</v>
      </c>
    </row>
    <row r="40" spans="1:6" x14ac:dyDescent="0.25">
      <c r="A40" s="1"/>
      <c r="B40" s="14" t="s">
        <v>41</v>
      </c>
      <c r="C40" s="1"/>
      <c r="D40" s="1">
        <v>3</v>
      </c>
      <c r="E40" s="2">
        <v>17500</v>
      </c>
      <c r="F40" s="11">
        <f t="shared" si="3"/>
        <v>52500</v>
      </c>
    </row>
    <row r="41" spans="1:6" x14ac:dyDescent="0.25">
      <c r="A41" s="1">
        <v>8</v>
      </c>
      <c r="B41" s="17" t="s">
        <v>13</v>
      </c>
      <c r="C41" s="1"/>
      <c r="D41" s="1"/>
      <c r="E41" s="2"/>
      <c r="F41" s="11"/>
    </row>
    <row r="42" spans="1:6" x14ac:dyDescent="0.25">
      <c r="A42" s="1"/>
      <c r="B42" s="14" t="s">
        <v>14</v>
      </c>
      <c r="C42" s="1" t="s">
        <v>10</v>
      </c>
      <c r="D42" s="1">
        <v>4</v>
      </c>
      <c r="E42" s="2">
        <v>2000</v>
      </c>
      <c r="F42" s="11">
        <f t="shared" ref="F42:F45" si="4">E42*D42</f>
        <v>8000</v>
      </c>
    </row>
    <row r="43" spans="1:6" x14ac:dyDescent="0.25">
      <c r="A43" s="1"/>
      <c r="B43" s="14"/>
      <c r="C43" s="1"/>
      <c r="D43" s="1"/>
      <c r="E43" s="2"/>
      <c r="F43" s="11"/>
    </row>
    <row r="44" spans="1:6" x14ac:dyDescent="0.25">
      <c r="A44" s="1">
        <v>9</v>
      </c>
      <c r="B44" s="17" t="s">
        <v>15</v>
      </c>
      <c r="C44" s="1"/>
      <c r="D44" s="1"/>
      <c r="E44" s="2"/>
      <c r="F44" s="11"/>
    </row>
    <row r="45" spans="1:6" x14ac:dyDescent="0.25">
      <c r="A45" s="1"/>
      <c r="B45" s="14" t="s">
        <v>17</v>
      </c>
      <c r="C45" s="1" t="s">
        <v>10</v>
      </c>
      <c r="D45" s="1">
        <v>10</v>
      </c>
      <c r="E45" s="2">
        <v>375</v>
      </c>
      <c r="F45" s="11">
        <f t="shared" si="4"/>
        <v>3750</v>
      </c>
    </row>
    <row r="46" spans="1:6" x14ac:dyDescent="0.25">
      <c r="A46" s="1"/>
      <c r="B46" s="14" t="s">
        <v>16</v>
      </c>
      <c r="C46" s="1" t="s">
        <v>10</v>
      </c>
      <c r="D46" s="1">
        <v>13</v>
      </c>
      <c r="E46" s="2">
        <v>35</v>
      </c>
      <c r="F46" s="11">
        <f>E46*D46</f>
        <v>455</v>
      </c>
    </row>
    <row r="47" spans="1:6" x14ac:dyDescent="0.25">
      <c r="A47" s="1"/>
      <c r="B47" s="14"/>
      <c r="C47" s="1"/>
      <c r="D47" s="1"/>
      <c r="E47" s="2"/>
      <c r="F47" s="11"/>
    </row>
    <row r="48" spans="1:6" x14ac:dyDescent="0.25">
      <c r="A48" s="1">
        <v>10</v>
      </c>
      <c r="B48" s="17" t="s">
        <v>20</v>
      </c>
      <c r="C48" s="1"/>
      <c r="D48" s="1"/>
      <c r="E48" s="2"/>
      <c r="F48" s="11"/>
    </row>
    <row r="49" spans="1:6" x14ac:dyDescent="0.25">
      <c r="A49" s="7"/>
      <c r="B49" s="16" t="s">
        <v>21</v>
      </c>
      <c r="C49" s="1" t="s">
        <v>10</v>
      </c>
      <c r="D49" s="1">
        <v>156</v>
      </c>
      <c r="E49" s="2">
        <v>400</v>
      </c>
      <c r="F49" s="11">
        <f t="shared" ref="F49:F53" si="5">E49*D49</f>
        <v>62400</v>
      </c>
    </row>
    <row r="50" spans="1:6" x14ac:dyDescent="0.25">
      <c r="A50" s="1"/>
      <c r="B50" s="14"/>
      <c r="C50" s="1"/>
      <c r="D50" s="1"/>
      <c r="E50" s="2"/>
      <c r="F50" s="11"/>
    </row>
    <row r="51" spans="1:6" x14ac:dyDescent="0.25">
      <c r="A51" s="1">
        <v>11</v>
      </c>
      <c r="B51" s="17" t="s">
        <v>22</v>
      </c>
      <c r="C51" s="1"/>
      <c r="D51" s="1"/>
      <c r="E51" s="2"/>
      <c r="F51" s="11"/>
    </row>
    <row r="52" spans="1:6" x14ac:dyDescent="0.25">
      <c r="A52" s="7"/>
      <c r="B52" s="16" t="s">
        <v>23</v>
      </c>
      <c r="C52" s="1" t="s">
        <v>19</v>
      </c>
      <c r="D52" s="1">
        <v>1426</v>
      </c>
      <c r="E52" s="2">
        <v>40</v>
      </c>
      <c r="F52" s="11">
        <f t="shared" si="5"/>
        <v>57040</v>
      </c>
    </row>
    <row r="53" spans="1:6" x14ac:dyDescent="0.25">
      <c r="A53" s="7"/>
      <c r="B53" s="16" t="s">
        <v>24</v>
      </c>
      <c r="C53" s="1" t="s">
        <v>19</v>
      </c>
      <c r="D53" s="1">
        <v>421</v>
      </c>
      <c r="E53" s="2">
        <v>55</v>
      </c>
      <c r="F53" s="11">
        <f t="shared" si="5"/>
        <v>23155</v>
      </c>
    </row>
    <row r="54" spans="1:6" x14ac:dyDescent="0.25">
      <c r="A54" s="1"/>
      <c r="B54" s="1"/>
      <c r="C54" s="1"/>
      <c r="D54" s="1"/>
      <c r="E54" s="2"/>
      <c r="F54" s="11"/>
    </row>
    <row r="55" spans="1:6" x14ac:dyDescent="0.25">
      <c r="A55" s="1"/>
      <c r="B55" s="21" t="s">
        <v>48</v>
      </c>
      <c r="C55" s="22"/>
      <c r="D55" s="22"/>
      <c r="E55" s="23"/>
      <c r="F55" s="18">
        <f>SUM(F4:F53)</f>
        <v>7852250.7799999993</v>
      </c>
    </row>
    <row r="56" spans="1:6" x14ac:dyDescent="0.25">
      <c r="A56" s="1"/>
      <c r="B56" s="1"/>
      <c r="C56" s="1"/>
      <c r="D56" s="1"/>
      <c r="E56" s="2"/>
      <c r="F56" s="12"/>
    </row>
  </sheetData>
  <mergeCells count="2">
    <mergeCell ref="A1:F1"/>
    <mergeCell ref="B55:E55"/>
  </mergeCells>
  <pageMargins left="0.7" right="0.7" top="0.75" bottom="0.75" header="0.3" footer="0.3"/>
  <pageSetup paperSize="9" scale="7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PRETOM DAS</dc:creator>
  <cp:lastModifiedBy>Izaya Rais</cp:lastModifiedBy>
  <cp:lastPrinted>2023-12-02T21:08:30Z</cp:lastPrinted>
  <dcterms:created xsi:type="dcterms:W3CDTF">2023-12-01T19:45:09Z</dcterms:created>
  <dcterms:modified xsi:type="dcterms:W3CDTF">2023-12-02T21:18:45Z</dcterms:modified>
</cp:coreProperties>
</file>