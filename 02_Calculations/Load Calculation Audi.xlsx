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stedu-my.sharepoint.com/personal/202216049_mist_ac_bd/Documents/Desktop/AUTOCAD_RAISUL_RAKID_SADMAN/Load Calc/"/>
    </mc:Choice>
  </mc:AlternateContent>
  <xr:revisionPtr revIDLastSave="46" documentId="13_ncr:1_{0999FF72-2665-41CE-B1D9-B60898C33F93}" xr6:coauthVersionLast="47" xr6:coauthVersionMax="47" xr10:uidLastSave="{561433DD-57BC-4F65-8F21-A6A74AC64C69}"/>
  <bookViews>
    <workbookView xWindow="-120" yWindow="-120" windowWidth="29040" windowHeight="15990" xr2:uid="{CC3C874F-9E95-4576-9514-BCBFB15DC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G46" i="1" s="1"/>
  <c r="E48" i="1"/>
  <c r="G48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40" i="1"/>
  <c r="G40" i="1" s="1"/>
  <c r="E41" i="1"/>
  <c r="G41" i="1" s="1"/>
  <c r="E43" i="1"/>
  <c r="G43" i="1" s="1"/>
  <c r="E32" i="1"/>
  <c r="G32" i="1" s="1"/>
  <c r="G22" i="1"/>
  <c r="E21" i="1"/>
  <c r="G21" i="1" s="1"/>
  <c r="E10" i="1"/>
  <c r="G10" i="1" s="1"/>
  <c r="E7" i="1"/>
  <c r="G7" i="1" s="1"/>
  <c r="E8" i="1"/>
  <c r="G8" i="1" s="1"/>
  <c r="E9" i="1"/>
  <c r="G9" i="1" s="1"/>
  <c r="E44" i="1"/>
  <c r="G44" i="1" s="1"/>
  <c r="E59" i="1"/>
  <c r="G59" i="1" s="1"/>
  <c r="E60" i="1"/>
  <c r="G60" i="1" s="1"/>
  <c r="E75" i="1"/>
  <c r="G75" i="1" s="1"/>
  <c r="E76" i="1"/>
  <c r="G76" i="1" s="1"/>
  <c r="E64" i="1"/>
  <c r="G64" i="1" s="1"/>
  <c r="E62" i="1"/>
  <c r="G62" i="1" s="1"/>
  <c r="E63" i="1"/>
  <c r="G63" i="1" s="1"/>
  <c r="E65" i="1"/>
  <c r="G65" i="1" s="1"/>
  <c r="E66" i="1"/>
  <c r="G66" i="1" s="1"/>
  <c r="E67" i="1"/>
  <c r="G67" i="1" s="1"/>
  <c r="E68" i="1"/>
  <c r="G68" i="1" s="1"/>
  <c r="E70" i="1"/>
  <c r="G70" i="1" s="1"/>
  <c r="E71" i="1"/>
  <c r="G71" i="1" s="1"/>
  <c r="E73" i="1"/>
  <c r="G73" i="1" s="1"/>
  <c r="E61" i="1"/>
  <c r="G61" i="1" s="1"/>
  <c r="E6" i="1"/>
  <c r="G6" i="1" s="1"/>
  <c r="E5" i="1"/>
  <c r="G5" i="1" s="1"/>
  <c r="G77" i="1" l="1"/>
  <c r="G49" i="1"/>
  <c r="G50" i="1" s="1"/>
  <c r="G51" i="1" s="1"/>
  <c r="G52" i="1" s="1"/>
  <c r="G23" i="1"/>
  <c r="G24" i="1" s="1"/>
  <c r="G78" i="1"/>
  <c r="G79" i="1" s="1"/>
  <c r="G80" i="1" s="1"/>
  <c r="G11" i="1" l="1"/>
  <c r="G12" i="1" s="1"/>
  <c r="G13" i="1" s="1"/>
  <c r="G14" i="1" s="1"/>
  <c r="G25" i="1"/>
  <c r="G26" i="1" s="1"/>
</calcChain>
</file>

<file path=xl/sharedStrings.xml><?xml version="1.0" encoding="utf-8"?>
<sst xmlns="http://schemas.openxmlformats.org/spreadsheetml/2006/main" count="114" uniqueCount="56">
  <si>
    <t>Serial No</t>
  </si>
  <si>
    <t>Descripting of Items</t>
  </si>
  <si>
    <t>Considered Rating(Watt)</t>
  </si>
  <si>
    <t>Quantity</t>
  </si>
  <si>
    <t>Total Wattage</t>
  </si>
  <si>
    <t>D.F(%)</t>
  </si>
  <si>
    <t>Maximum Demand(Watt)</t>
  </si>
  <si>
    <t>Sub Distribution Board-01</t>
  </si>
  <si>
    <t>i.</t>
  </si>
  <si>
    <t>Circular LED Light</t>
  </si>
  <si>
    <t>ii.</t>
  </si>
  <si>
    <t>Central AC</t>
  </si>
  <si>
    <t>iii.</t>
  </si>
  <si>
    <t>13A -3pin (type-S)</t>
  </si>
  <si>
    <t>Sub Distribution Board-02</t>
  </si>
  <si>
    <t>Chandelier</t>
  </si>
  <si>
    <t>Flat LED Light</t>
  </si>
  <si>
    <t>iv.</t>
  </si>
  <si>
    <t>Lights</t>
  </si>
  <si>
    <t>Power Sockets</t>
  </si>
  <si>
    <t xml:space="preserve">5A-2pin </t>
  </si>
  <si>
    <t xml:space="preserve">13A-3pin </t>
  </si>
  <si>
    <t>ii</t>
  </si>
  <si>
    <t>Garden Light</t>
  </si>
  <si>
    <t>Door Light</t>
  </si>
  <si>
    <t>Security Light</t>
  </si>
  <si>
    <t>AC Loads</t>
  </si>
  <si>
    <t>AC(1.5 TON)</t>
  </si>
  <si>
    <t>Sub Distribution Board-03</t>
  </si>
  <si>
    <t>Others</t>
  </si>
  <si>
    <t>Washroom Exhaust Fan</t>
  </si>
  <si>
    <t>Mirror Light</t>
  </si>
  <si>
    <t>Wall bracket light (WL)</t>
  </si>
  <si>
    <t>Exhibition Spot Light</t>
  </si>
  <si>
    <t>Ceiling light (CL)</t>
  </si>
  <si>
    <t>Distribution Board</t>
  </si>
  <si>
    <t>Wall Mounted Speaker</t>
  </si>
  <si>
    <t>Fan</t>
  </si>
  <si>
    <t>Ceiling Fan</t>
  </si>
  <si>
    <t>Wall Mounted Fan</t>
  </si>
  <si>
    <t>Incandascent Rotating Stage Lights</t>
  </si>
  <si>
    <t>Total Maximum Demand</t>
  </si>
  <si>
    <t>with 10% spare</t>
  </si>
  <si>
    <t>Therefore, I</t>
  </si>
  <si>
    <t>with25% of RF</t>
  </si>
  <si>
    <t>Stage Spot Light</t>
  </si>
  <si>
    <t>Cable: 4x1C-25mm2 NYY + 1x1c-16mm2 BYA as ECC</t>
  </si>
  <si>
    <t>Cable: 4x1C-4mm2 NYY + 1x1c-4mm2 BYA as ECC</t>
  </si>
  <si>
    <t>Load Calculation for Auditorium</t>
  </si>
  <si>
    <t>Total Maximum Demand(Including  SDB1+SDB2+SDB3)</t>
  </si>
  <si>
    <t>Cable: 4x1C-50mm2 NYY + 1x1c-16mm2 BYA as ECC</t>
  </si>
  <si>
    <t>Circuit Breaker : 80A DP MCB</t>
  </si>
  <si>
    <t>Circuit Breaker : 32A DP MCB</t>
  </si>
  <si>
    <t>SL no</t>
  </si>
  <si>
    <t>Tube Light</t>
  </si>
  <si>
    <t>Circuit Breaker : 160A TP MCCB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</si>
</sst>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imes"/>
      <family val="1"/>
    </font>
    <font>
      <b/>
      <sz val="12"/>
      <color theme="1"/>
      <name val="Times"/>
      <family val="1"/>
    </font>
    <font>
      <sz val="11"/>
      <color theme="1"/>
      <name val="Times"/>
      <family val="1"/>
    </font>
    <font>
      <b/>
      <sz val="14"/>
      <color theme="1"/>
      <name val="Times"/>
      <family val="1"/>
    </font>
    <font>
      <b/>
      <sz val="11"/>
      <name val="Times"/>
      <family val="1"/>
    </font>
    <font>
      <sz val="10"/>
      <color rgb="FF000000"/>
      <name val="Times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right"/>
    </xf>
    <xf numFmtId="0" fontId="3" fillId="6" borderId="0" xfId="0" applyFont="1" applyFill="1"/>
    <xf numFmtId="0" fontId="2" fillId="0" borderId="0" xfId="0" applyFont="1"/>
    <xf numFmtId="0" fontId="4" fillId="0" borderId="0" xfId="0" applyFont="1"/>
    <xf numFmtId="9" fontId="4" fillId="0" borderId="0" xfId="0" applyNumberFormat="1" applyFont="1"/>
    <xf numFmtId="0" fontId="3" fillId="5" borderId="0" xfId="0" applyFont="1" applyFill="1"/>
    <xf numFmtId="0" fontId="3" fillId="0" borderId="0" xfId="0" applyFont="1"/>
    <xf numFmtId="0" fontId="4" fillId="8" borderId="0" xfId="0" applyFont="1" applyFill="1"/>
    <xf numFmtId="0" fontId="7" fillId="8" borderId="0" xfId="0" applyFont="1" applyFill="1" applyAlignment="1">
      <alignment vertical="center" wrapText="1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1" applyFont="1" applyAlignment="1">
      <alignment horizontal="right"/>
    </xf>
    <xf numFmtId="0" fontId="5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right"/>
    </xf>
  </cellXfs>
  <cellStyles count="2">
    <cellStyle name="Normal" xfId="0" builtinId="0"/>
    <cellStyle name="Normal 2" xfId="1" xr:uid="{D4FB162B-A21E-4A10-B1C9-24AD967720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7560-5678-4292-94D5-0D8E960B25D4}">
  <sheetPr>
    <pageSetUpPr fitToPage="1"/>
  </sheetPr>
  <dimension ref="A1:G82"/>
  <sheetViews>
    <sheetView tabSelected="1" zoomScaleNormal="100" workbookViewId="0">
      <selection activeCell="H45" sqref="H45"/>
    </sheetView>
  </sheetViews>
  <sheetFormatPr defaultRowHeight="15" x14ac:dyDescent="0.25"/>
  <cols>
    <col min="1" max="1" width="7" style="4" customWidth="1"/>
    <col min="2" max="2" width="22" style="4" customWidth="1"/>
    <col min="3" max="3" width="25.140625" style="4" customWidth="1"/>
    <col min="4" max="4" width="9.28515625" style="4" customWidth="1"/>
    <col min="5" max="5" width="14.42578125" style="4" customWidth="1"/>
    <col min="6" max="6" width="7.85546875" style="4" customWidth="1"/>
    <col min="7" max="7" width="32.42578125" style="4" customWidth="1"/>
    <col min="8" max="16384" width="9.140625" style="4"/>
  </cols>
  <sheetData>
    <row r="1" spans="1:7" ht="18" x14ac:dyDescent="0.25">
      <c r="A1" s="15" t="s">
        <v>48</v>
      </c>
      <c r="B1" s="15"/>
      <c r="C1" s="15"/>
      <c r="D1" s="15"/>
      <c r="E1" s="15"/>
      <c r="F1" s="15"/>
      <c r="G1" s="15"/>
    </row>
    <row r="2" spans="1:7" ht="15.75" x14ac:dyDescent="0.25">
      <c r="A2" s="16" t="s">
        <v>35</v>
      </c>
      <c r="B2" s="17"/>
      <c r="C2" s="17"/>
      <c r="D2" s="17"/>
      <c r="E2" s="17"/>
      <c r="F2" s="17"/>
      <c r="G2" s="17"/>
    </row>
    <row r="3" spans="1:7" s="7" customFormat="1" x14ac:dyDescent="0.2">
      <c r="A3" s="6" t="s">
        <v>53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1:7" x14ac:dyDescent="0.25">
      <c r="A4" s="3" t="s">
        <v>8</v>
      </c>
      <c r="B4" s="10" t="s">
        <v>18</v>
      </c>
      <c r="C4" s="10"/>
      <c r="D4" s="10"/>
      <c r="E4" s="10"/>
      <c r="F4" s="10"/>
      <c r="G4" s="10"/>
    </row>
    <row r="5" spans="1:7" x14ac:dyDescent="0.25">
      <c r="B5" s="8" t="s">
        <v>9</v>
      </c>
      <c r="C5" s="4">
        <v>60</v>
      </c>
      <c r="D5" s="4">
        <v>30</v>
      </c>
      <c r="E5" s="4">
        <f>PRODUCT(C5,D5)</f>
        <v>1800</v>
      </c>
      <c r="F5" s="5">
        <v>0.6</v>
      </c>
      <c r="G5" s="4">
        <f>PRODUCT(E5,F5)</f>
        <v>1080</v>
      </c>
    </row>
    <row r="6" spans="1:7" x14ac:dyDescent="0.25">
      <c r="B6" s="8" t="s">
        <v>16</v>
      </c>
      <c r="C6" s="4">
        <v>80</v>
      </c>
      <c r="D6" s="4">
        <v>2</v>
      </c>
      <c r="E6" s="4">
        <f>PRODUCT(C6,D6)</f>
        <v>160</v>
      </c>
      <c r="F6" s="5">
        <v>0.6</v>
      </c>
      <c r="G6" s="4">
        <f>PRODUCT(E6,F6)</f>
        <v>96</v>
      </c>
    </row>
    <row r="7" spans="1:7" x14ac:dyDescent="0.25">
      <c r="B7" s="8" t="s">
        <v>32</v>
      </c>
      <c r="C7" s="4">
        <v>40</v>
      </c>
      <c r="D7" s="4">
        <v>5</v>
      </c>
      <c r="E7" s="4">
        <f t="shared" ref="E7:E8" si="0">PRODUCT(C7,D7)</f>
        <v>200</v>
      </c>
      <c r="F7" s="5">
        <v>0.6</v>
      </c>
      <c r="G7" s="4">
        <f t="shared" ref="G7:G10" si="1">PRODUCT(E7,F7)</f>
        <v>120</v>
      </c>
    </row>
    <row r="8" spans="1:7" x14ac:dyDescent="0.25">
      <c r="B8" s="8" t="s">
        <v>34</v>
      </c>
      <c r="C8" s="4">
        <v>40</v>
      </c>
      <c r="D8" s="4">
        <v>2</v>
      </c>
      <c r="E8" s="4">
        <f t="shared" si="0"/>
        <v>80</v>
      </c>
      <c r="F8" s="5">
        <v>0.6</v>
      </c>
      <c r="G8" s="4">
        <f t="shared" si="1"/>
        <v>48</v>
      </c>
    </row>
    <row r="9" spans="1:7" x14ac:dyDescent="0.25">
      <c r="B9" s="8" t="s">
        <v>13</v>
      </c>
      <c r="C9" s="4">
        <v>1000</v>
      </c>
      <c r="D9" s="4">
        <v>5</v>
      </c>
      <c r="E9" s="4">
        <f>PRODUCT(C9,D9)</f>
        <v>5000</v>
      </c>
      <c r="F9" s="5">
        <v>0.6</v>
      </c>
      <c r="G9" s="4">
        <f t="shared" si="1"/>
        <v>3000</v>
      </c>
    </row>
    <row r="10" spans="1:7" x14ac:dyDescent="0.25">
      <c r="B10" s="8" t="s">
        <v>36</v>
      </c>
      <c r="C10" s="4">
        <v>600</v>
      </c>
      <c r="D10" s="4">
        <v>5</v>
      </c>
      <c r="E10" s="4">
        <f>PRODUCT(C10,D10)</f>
        <v>3000</v>
      </c>
      <c r="F10" s="5">
        <v>1</v>
      </c>
      <c r="G10" s="4">
        <f t="shared" si="1"/>
        <v>3000</v>
      </c>
    </row>
    <row r="11" spans="1:7" x14ac:dyDescent="0.25">
      <c r="A11" s="11" t="s">
        <v>49</v>
      </c>
      <c r="B11" s="11"/>
      <c r="C11" s="11"/>
      <c r="D11" s="11"/>
      <c r="E11" s="11"/>
      <c r="F11" s="11"/>
      <c r="G11" s="3">
        <f>SUM(G5:G10,G23,G49,G77)</f>
        <v>64314.100000000006</v>
      </c>
    </row>
    <row r="12" spans="1:7" x14ac:dyDescent="0.25">
      <c r="A12" s="1"/>
      <c r="B12" s="1"/>
      <c r="C12" s="1"/>
      <c r="D12" s="1"/>
      <c r="E12" s="11" t="s">
        <v>42</v>
      </c>
      <c r="F12" s="11"/>
      <c r="G12" s="3">
        <f>SUM(G11+(G11*(10/100)))</f>
        <v>70745.510000000009</v>
      </c>
    </row>
    <row r="13" spans="1:7" x14ac:dyDescent="0.25">
      <c r="A13" s="1"/>
      <c r="B13" s="1"/>
      <c r="C13" s="11" t="s">
        <v>43</v>
      </c>
      <c r="D13" s="11"/>
      <c r="E13" s="11"/>
      <c r="F13" s="11"/>
      <c r="G13" s="3">
        <f>G12/(1.732050808*415*0.8)</f>
        <v>123.02692539846595</v>
      </c>
    </row>
    <row r="14" spans="1:7" x14ac:dyDescent="0.25">
      <c r="A14" s="1"/>
      <c r="B14" s="1"/>
      <c r="C14" s="1"/>
      <c r="D14" s="1"/>
      <c r="E14" s="11" t="s">
        <v>44</v>
      </c>
      <c r="F14" s="11"/>
      <c r="G14" s="3">
        <f>SUM(G13)+(G13*0.25)</f>
        <v>153.78365674808242</v>
      </c>
    </row>
    <row r="15" spans="1:7" x14ac:dyDescent="0.25">
      <c r="A15" s="1"/>
      <c r="B15" s="1"/>
      <c r="C15" s="1"/>
      <c r="D15" s="1"/>
      <c r="E15" s="11" t="s">
        <v>55</v>
      </c>
      <c r="F15" s="11"/>
      <c r="G15" s="11"/>
    </row>
    <row r="16" spans="1:7" x14ac:dyDescent="0.25">
      <c r="A16" s="1"/>
      <c r="B16" s="1"/>
      <c r="C16" s="1"/>
      <c r="D16" s="1"/>
      <c r="E16" s="11" t="s">
        <v>50</v>
      </c>
      <c r="F16" s="11"/>
      <c r="G16" s="11"/>
    </row>
    <row r="17" spans="1:7" x14ac:dyDescent="0.25">
      <c r="D17" s="18"/>
      <c r="E17" s="18"/>
      <c r="F17" s="18"/>
    </row>
    <row r="18" spans="1:7" ht="15.75" x14ac:dyDescent="0.25">
      <c r="A18" s="12" t="s">
        <v>7</v>
      </c>
      <c r="B18" s="13"/>
      <c r="C18" s="13"/>
      <c r="D18" s="13"/>
      <c r="E18" s="13"/>
      <c r="F18" s="13"/>
      <c r="G18" s="13"/>
    </row>
    <row r="19" spans="1:7" ht="15.75" x14ac:dyDescent="0.25">
      <c r="A19" s="6" t="s">
        <v>0</v>
      </c>
      <c r="B19" s="6" t="s">
        <v>1</v>
      </c>
      <c r="C19" s="6" t="s">
        <v>2</v>
      </c>
      <c r="D19" s="6" t="s">
        <v>3</v>
      </c>
      <c r="E19" s="6" t="s">
        <v>4</v>
      </c>
      <c r="F19" s="6" t="s">
        <v>5</v>
      </c>
      <c r="G19" s="6" t="s">
        <v>6</v>
      </c>
    </row>
    <row r="20" spans="1:7" x14ac:dyDescent="0.25">
      <c r="A20" s="3" t="s">
        <v>8</v>
      </c>
      <c r="B20" s="10" t="s">
        <v>26</v>
      </c>
      <c r="C20" s="10"/>
      <c r="D20" s="10"/>
      <c r="E20" s="10"/>
      <c r="F20" s="10"/>
      <c r="G20" s="10"/>
    </row>
    <row r="21" spans="1:7" x14ac:dyDescent="0.25">
      <c r="B21" s="8" t="s">
        <v>11</v>
      </c>
      <c r="C21" s="4">
        <v>3000</v>
      </c>
      <c r="D21" s="4">
        <v>11</v>
      </c>
      <c r="E21" s="4">
        <f>PRODUCT(C21,D21)</f>
        <v>33000</v>
      </c>
      <c r="F21" s="5">
        <v>1</v>
      </c>
      <c r="G21" s="4">
        <f>PRODUCT(E21,F21)</f>
        <v>33000</v>
      </c>
    </row>
    <row r="22" spans="1:7" x14ac:dyDescent="0.25">
      <c r="F22" s="5"/>
      <c r="G22" s="4">
        <f t="shared" ref="G22" si="2">PRODUCT(E22,F22)</f>
        <v>0</v>
      </c>
    </row>
    <row r="23" spans="1:7" x14ac:dyDescent="0.25">
      <c r="A23" s="11" t="s">
        <v>41</v>
      </c>
      <c r="B23" s="11"/>
      <c r="C23" s="11"/>
      <c r="D23" s="11"/>
      <c r="E23" s="11"/>
      <c r="F23" s="11"/>
      <c r="G23" s="3">
        <f>SUM(G18:G22)</f>
        <v>33000</v>
      </c>
    </row>
    <row r="24" spans="1:7" x14ac:dyDescent="0.25">
      <c r="A24" s="1"/>
      <c r="B24" s="1"/>
      <c r="C24" s="1"/>
      <c r="D24" s="1"/>
      <c r="E24" s="11" t="s">
        <v>42</v>
      </c>
      <c r="F24" s="11"/>
      <c r="G24" s="3">
        <f>SUM(G23+(G23*(10/100)))</f>
        <v>36300</v>
      </c>
    </row>
    <row r="25" spans="1:7" x14ac:dyDescent="0.25">
      <c r="A25" s="1"/>
      <c r="B25" s="1"/>
      <c r="C25" s="11" t="s">
        <v>43</v>
      </c>
      <c r="D25" s="11"/>
      <c r="E25" s="11"/>
      <c r="F25" s="11"/>
      <c r="G25" s="3">
        <f>G24/(1.732050808*415*0.8)</f>
        <v>63.125948091466348</v>
      </c>
    </row>
    <row r="26" spans="1:7" x14ac:dyDescent="0.25">
      <c r="A26" s="1"/>
      <c r="B26" s="1"/>
      <c r="C26" s="1"/>
      <c r="D26" s="1"/>
      <c r="E26" s="11" t="s">
        <v>44</v>
      </c>
      <c r="F26" s="11"/>
      <c r="G26" s="3">
        <f>SUM(G25)+(G25*0.25)</f>
        <v>78.907435114332941</v>
      </c>
    </row>
    <row r="27" spans="1:7" x14ac:dyDescent="0.25">
      <c r="A27" s="1"/>
      <c r="B27" s="1"/>
      <c r="C27" s="1"/>
      <c r="D27" s="1"/>
      <c r="E27" s="11" t="s">
        <v>51</v>
      </c>
      <c r="F27" s="11"/>
      <c r="G27" s="11"/>
    </row>
    <row r="28" spans="1:7" x14ac:dyDescent="0.25">
      <c r="A28" s="1"/>
      <c r="B28" s="1"/>
      <c r="C28" s="1"/>
      <c r="D28" s="14" t="s">
        <v>46</v>
      </c>
      <c r="E28" s="14"/>
      <c r="F28" s="14"/>
      <c r="G28" s="14"/>
    </row>
    <row r="29" spans="1:7" ht="15.75" x14ac:dyDescent="0.25">
      <c r="A29" s="12" t="s">
        <v>14</v>
      </c>
      <c r="B29" s="13"/>
      <c r="C29" s="13"/>
      <c r="D29" s="13"/>
      <c r="E29" s="13"/>
      <c r="F29" s="13"/>
      <c r="G29" s="13"/>
    </row>
    <row r="30" spans="1:7" ht="15.75" x14ac:dyDescent="0.25">
      <c r="A30" s="6" t="s">
        <v>0</v>
      </c>
      <c r="B30" s="6" t="s">
        <v>1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</row>
    <row r="31" spans="1:7" x14ac:dyDescent="0.25">
      <c r="A31" s="3" t="s">
        <v>8</v>
      </c>
      <c r="B31" s="10" t="s">
        <v>18</v>
      </c>
      <c r="C31" s="10"/>
      <c r="D31" s="10"/>
      <c r="E31" s="10"/>
      <c r="F31" s="10"/>
      <c r="G31" s="10"/>
    </row>
    <row r="32" spans="1:7" x14ac:dyDescent="0.25">
      <c r="A32" s="3"/>
      <c r="B32" s="8" t="s">
        <v>16</v>
      </c>
      <c r="C32" s="4">
        <v>80</v>
      </c>
      <c r="D32" s="4">
        <v>4</v>
      </c>
      <c r="E32" s="4">
        <f>PRODUCT(C32,D32)</f>
        <v>320</v>
      </c>
      <c r="F32" s="5">
        <v>0.6</v>
      </c>
      <c r="G32" s="4">
        <f>PRODUCT(E32,F32)</f>
        <v>192</v>
      </c>
    </row>
    <row r="33" spans="1:7" x14ac:dyDescent="0.25">
      <c r="A33" s="3"/>
      <c r="B33" s="8" t="s">
        <v>31</v>
      </c>
      <c r="C33" s="4">
        <v>15</v>
      </c>
      <c r="D33" s="4">
        <v>4</v>
      </c>
      <c r="E33" s="4">
        <f t="shared" ref="E33:E43" si="3">PRODUCT(C33,D33)</f>
        <v>60</v>
      </c>
      <c r="F33" s="5">
        <v>0.6</v>
      </c>
      <c r="G33" s="4">
        <f t="shared" ref="G33:G48" si="4">PRODUCT(E33,F33)</f>
        <v>36</v>
      </c>
    </row>
    <row r="34" spans="1:7" x14ac:dyDescent="0.25">
      <c r="A34" s="3"/>
      <c r="B34" s="8" t="s">
        <v>54</v>
      </c>
      <c r="C34" s="4">
        <v>40</v>
      </c>
      <c r="D34" s="4">
        <v>5</v>
      </c>
      <c r="E34" s="4">
        <f t="shared" si="3"/>
        <v>200</v>
      </c>
      <c r="F34" s="5">
        <v>0.6</v>
      </c>
      <c r="G34" s="4">
        <f t="shared" si="4"/>
        <v>120</v>
      </c>
    </row>
    <row r="35" spans="1:7" x14ac:dyDescent="0.25">
      <c r="A35" s="3"/>
      <c r="B35" s="8" t="s">
        <v>32</v>
      </c>
      <c r="C35" s="4">
        <v>40</v>
      </c>
      <c r="D35" s="4">
        <v>16</v>
      </c>
      <c r="E35" s="4">
        <f t="shared" si="3"/>
        <v>640</v>
      </c>
      <c r="F35" s="5">
        <v>0.6</v>
      </c>
      <c r="G35" s="4">
        <f t="shared" si="4"/>
        <v>384</v>
      </c>
    </row>
    <row r="36" spans="1:7" x14ac:dyDescent="0.25">
      <c r="A36" s="3"/>
      <c r="B36" s="8" t="s">
        <v>45</v>
      </c>
      <c r="C36" s="4">
        <v>800</v>
      </c>
      <c r="D36" s="4">
        <v>3</v>
      </c>
      <c r="E36" s="4">
        <f t="shared" si="3"/>
        <v>2400</v>
      </c>
      <c r="F36" s="5">
        <v>0.6</v>
      </c>
      <c r="G36" s="4">
        <f t="shared" si="4"/>
        <v>1440</v>
      </c>
    </row>
    <row r="37" spans="1:7" ht="24.75" customHeight="1" x14ac:dyDescent="0.25">
      <c r="A37" s="3"/>
      <c r="B37" s="9" t="s">
        <v>40</v>
      </c>
      <c r="C37" s="4">
        <v>1500</v>
      </c>
      <c r="D37" s="4">
        <v>3</v>
      </c>
      <c r="E37" s="4">
        <f t="shared" si="3"/>
        <v>4500</v>
      </c>
      <c r="F37" s="5">
        <v>0.6</v>
      </c>
      <c r="G37" s="4">
        <f t="shared" si="4"/>
        <v>2700</v>
      </c>
    </row>
    <row r="38" spans="1:7" x14ac:dyDescent="0.25">
      <c r="A38" s="3"/>
      <c r="B38" s="8" t="s">
        <v>34</v>
      </c>
      <c r="C38" s="4">
        <v>40</v>
      </c>
      <c r="D38" s="4">
        <v>8</v>
      </c>
      <c r="E38" s="4">
        <f>PRODUCT(C38,D38)</f>
        <v>320</v>
      </c>
      <c r="F38" s="5">
        <v>0.6</v>
      </c>
      <c r="G38" s="4">
        <f t="shared" si="4"/>
        <v>192</v>
      </c>
    </row>
    <row r="39" spans="1:7" x14ac:dyDescent="0.25">
      <c r="A39" s="3" t="s">
        <v>10</v>
      </c>
      <c r="B39" s="10" t="s">
        <v>37</v>
      </c>
      <c r="C39" s="10"/>
      <c r="D39" s="10"/>
      <c r="E39" s="10"/>
      <c r="F39" s="10"/>
      <c r="G39" s="10"/>
    </row>
    <row r="40" spans="1:7" x14ac:dyDescent="0.25">
      <c r="A40" s="3"/>
      <c r="B40" s="8" t="s">
        <v>38</v>
      </c>
      <c r="C40" s="4">
        <v>75</v>
      </c>
      <c r="D40" s="4">
        <v>3</v>
      </c>
      <c r="E40" s="4">
        <f t="shared" si="3"/>
        <v>225</v>
      </c>
      <c r="F40" s="5">
        <v>0.5</v>
      </c>
      <c r="G40" s="4">
        <f t="shared" si="4"/>
        <v>112.5</v>
      </c>
    </row>
    <row r="41" spans="1:7" x14ac:dyDescent="0.25">
      <c r="A41" s="3"/>
      <c r="B41" s="8" t="s">
        <v>39</v>
      </c>
      <c r="C41" s="4">
        <v>45</v>
      </c>
      <c r="D41" s="4">
        <v>2</v>
      </c>
      <c r="E41" s="4">
        <f t="shared" si="3"/>
        <v>90</v>
      </c>
      <c r="F41" s="5">
        <v>0.5</v>
      </c>
      <c r="G41" s="4">
        <f t="shared" si="4"/>
        <v>45</v>
      </c>
    </row>
    <row r="42" spans="1:7" x14ac:dyDescent="0.25">
      <c r="A42" s="3" t="s">
        <v>10</v>
      </c>
      <c r="B42" s="10" t="s">
        <v>19</v>
      </c>
      <c r="C42" s="10"/>
      <c r="D42" s="10"/>
      <c r="E42" s="10"/>
      <c r="F42" s="10"/>
      <c r="G42" s="10"/>
    </row>
    <row r="43" spans="1:7" x14ac:dyDescent="0.25">
      <c r="A43" s="3"/>
      <c r="B43" s="8" t="s">
        <v>20</v>
      </c>
      <c r="C43" s="4">
        <v>300</v>
      </c>
      <c r="D43" s="4">
        <v>6</v>
      </c>
      <c r="E43" s="4">
        <f t="shared" si="3"/>
        <v>1800</v>
      </c>
      <c r="F43" s="5">
        <v>0.5</v>
      </c>
      <c r="G43" s="4">
        <f t="shared" si="4"/>
        <v>900</v>
      </c>
    </row>
    <row r="44" spans="1:7" x14ac:dyDescent="0.25">
      <c r="A44" s="3"/>
      <c r="B44" s="8" t="s">
        <v>21</v>
      </c>
      <c r="C44" s="4">
        <v>1000</v>
      </c>
      <c r="D44" s="4">
        <v>5</v>
      </c>
      <c r="E44" s="4">
        <f>PRODUCT(C44,D44)</f>
        <v>5000</v>
      </c>
      <c r="F44" s="5">
        <v>0.6</v>
      </c>
      <c r="G44" s="4">
        <f t="shared" si="4"/>
        <v>3000</v>
      </c>
    </row>
    <row r="45" spans="1:7" x14ac:dyDescent="0.25">
      <c r="A45" s="3" t="s">
        <v>12</v>
      </c>
      <c r="B45" s="10" t="s">
        <v>26</v>
      </c>
      <c r="C45" s="10"/>
      <c r="D45" s="10"/>
      <c r="E45" s="10"/>
      <c r="F45" s="10"/>
      <c r="G45" s="10"/>
    </row>
    <row r="46" spans="1:7" x14ac:dyDescent="0.25">
      <c r="A46" s="3"/>
      <c r="B46" s="8" t="s">
        <v>27</v>
      </c>
      <c r="C46" s="4">
        <v>1500</v>
      </c>
      <c r="D46" s="4">
        <v>2</v>
      </c>
      <c r="E46" s="4">
        <f t="shared" ref="E46:E48" si="5">PRODUCT(C46,D46)</f>
        <v>3000</v>
      </c>
      <c r="F46" s="5">
        <v>1</v>
      </c>
      <c r="G46" s="4">
        <f t="shared" si="4"/>
        <v>3000</v>
      </c>
    </row>
    <row r="47" spans="1:7" x14ac:dyDescent="0.25">
      <c r="A47" s="3" t="s">
        <v>17</v>
      </c>
      <c r="B47" s="10" t="s">
        <v>29</v>
      </c>
      <c r="C47" s="10"/>
      <c r="D47" s="10"/>
      <c r="E47" s="10"/>
      <c r="F47" s="10"/>
      <c r="G47" s="10"/>
    </row>
    <row r="48" spans="1:7" x14ac:dyDescent="0.25">
      <c r="B48" s="8" t="s">
        <v>30</v>
      </c>
      <c r="C48" s="4">
        <v>36</v>
      </c>
      <c r="D48" s="4">
        <v>4</v>
      </c>
      <c r="E48" s="4">
        <f t="shared" si="5"/>
        <v>144</v>
      </c>
      <c r="F48" s="5">
        <v>0.6</v>
      </c>
      <c r="G48" s="4">
        <f t="shared" si="4"/>
        <v>86.399999999999991</v>
      </c>
    </row>
    <row r="49" spans="1:7" x14ac:dyDescent="0.25">
      <c r="A49" s="11" t="s">
        <v>41</v>
      </c>
      <c r="B49" s="11"/>
      <c r="C49" s="11"/>
      <c r="D49" s="11"/>
      <c r="E49" s="11"/>
      <c r="F49" s="11"/>
      <c r="G49" s="3">
        <f>SUM(G32:G48)</f>
        <v>12207.9</v>
      </c>
    </row>
    <row r="50" spans="1:7" x14ac:dyDescent="0.25">
      <c r="A50" s="1"/>
      <c r="B50" s="1"/>
      <c r="C50" s="1"/>
      <c r="D50" s="1"/>
      <c r="E50" s="11" t="s">
        <v>42</v>
      </c>
      <c r="F50" s="11"/>
      <c r="G50" s="3">
        <f>SUM(G49+(G49*(10/100)))</f>
        <v>13428.689999999999</v>
      </c>
    </row>
    <row r="51" spans="1:7" x14ac:dyDescent="0.25">
      <c r="A51" s="1"/>
      <c r="B51" s="1"/>
      <c r="C51" s="11" t="s">
        <v>43</v>
      </c>
      <c r="D51" s="11"/>
      <c r="E51" s="11"/>
      <c r="F51" s="11"/>
      <c r="G51" s="3">
        <f>G50/(1.732050808*415*0.8)</f>
        <v>23.35258368805491</v>
      </c>
    </row>
    <row r="52" spans="1:7" x14ac:dyDescent="0.25">
      <c r="A52" s="1"/>
      <c r="B52" s="1"/>
      <c r="C52" s="1"/>
      <c r="D52" s="1"/>
      <c r="E52" s="11" t="s">
        <v>44</v>
      </c>
      <c r="F52" s="11"/>
      <c r="G52" s="3">
        <f>SUM(G51)+(G51*0.25)</f>
        <v>29.190729610068637</v>
      </c>
    </row>
    <row r="53" spans="1:7" x14ac:dyDescent="0.25">
      <c r="A53" s="1"/>
      <c r="B53" s="1"/>
      <c r="C53" s="1"/>
      <c r="D53" s="1"/>
      <c r="E53" s="11" t="s">
        <v>52</v>
      </c>
      <c r="F53" s="11"/>
      <c r="G53" s="11"/>
    </row>
    <row r="54" spans="1:7" x14ac:dyDescent="0.25">
      <c r="A54" s="1"/>
      <c r="B54" s="1"/>
      <c r="C54" s="1"/>
      <c r="D54" s="11" t="s">
        <v>47</v>
      </c>
      <c r="E54" s="11"/>
      <c r="F54" s="11"/>
      <c r="G54" s="11"/>
    </row>
    <row r="56" spans="1:7" ht="15.75" x14ac:dyDescent="0.25">
      <c r="A56" s="12" t="s">
        <v>28</v>
      </c>
      <c r="B56" s="12"/>
      <c r="C56" s="12"/>
      <c r="D56" s="12"/>
      <c r="E56" s="12"/>
      <c r="F56" s="12"/>
      <c r="G56" s="12"/>
    </row>
    <row r="57" spans="1:7" ht="15.75" x14ac:dyDescent="0.25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</row>
    <row r="58" spans="1:7" x14ac:dyDescent="0.25">
      <c r="A58" s="3" t="s">
        <v>8</v>
      </c>
      <c r="B58" s="10" t="s">
        <v>18</v>
      </c>
      <c r="C58" s="10"/>
      <c r="D58" s="10"/>
      <c r="E58" s="10"/>
      <c r="F58" s="10"/>
      <c r="G58" s="10"/>
    </row>
    <row r="59" spans="1:7" x14ac:dyDescent="0.25">
      <c r="B59" s="8" t="s">
        <v>15</v>
      </c>
      <c r="C59" s="4">
        <v>400</v>
      </c>
      <c r="D59" s="4">
        <v>1</v>
      </c>
      <c r="E59" s="4">
        <f>PRODUCT(C59,D59)</f>
        <v>400</v>
      </c>
      <c r="F59" s="5">
        <v>1</v>
      </c>
      <c r="G59" s="4">
        <f>PRODUCT(E59,F59)</f>
        <v>400</v>
      </c>
    </row>
    <row r="60" spans="1:7" x14ac:dyDescent="0.25">
      <c r="B60" s="8" t="s">
        <v>16</v>
      </c>
      <c r="C60" s="4">
        <v>80</v>
      </c>
      <c r="D60" s="4">
        <v>4</v>
      </c>
      <c r="E60" s="4">
        <f>PRODUCT(C60,D60)</f>
        <v>320</v>
      </c>
      <c r="F60" s="5">
        <v>1</v>
      </c>
      <c r="G60" s="4">
        <f>PRODUCT(E60,F60)</f>
        <v>320</v>
      </c>
    </row>
    <row r="61" spans="1:7" x14ac:dyDescent="0.25">
      <c r="B61" s="8" t="s">
        <v>33</v>
      </c>
      <c r="C61" s="4">
        <v>15</v>
      </c>
      <c r="D61" s="4">
        <v>3</v>
      </c>
      <c r="E61" s="4">
        <f>PRODUCT(C61,D61)</f>
        <v>45</v>
      </c>
      <c r="F61" s="5">
        <v>0.6</v>
      </c>
      <c r="G61" s="4">
        <f>PRODUCT(E61,F61)</f>
        <v>27</v>
      </c>
    </row>
    <row r="62" spans="1:7" x14ac:dyDescent="0.25">
      <c r="B62" s="8" t="s">
        <v>31</v>
      </c>
      <c r="C62" s="4">
        <v>15</v>
      </c>
      <c r="D62" s="4">
        <v>10</v>
      </c>
      <c r="E62" s="4">
        <f t="shared" ref="E62:E68" si="6">PRODUCT(C62,D62)</f>
        <v>150</v>
      </c>
      <c r="F62" s="5">
        <v>0.6</v>
      </c>
      <c r="G62" s="4">
        <f t="shared" ref="G62:G76" si="7">PRODUCT(E62,F62)</f>
        <v>90</v>
      </c>
    </row>
    <row r="63" spans="1:7" x14ac:dyDescent="0.25">
      <c r="B63" s="8" t="s">
        <v>54</v>
      </c>
      <c r="C63" s="4">
        <v>40</v>
      </c>
      <c r="D63" s="4">
        <v>8</v>
      </c>
      <c r="E63" s="4">
        <f t="shared" si="6"/>
        <v>320</v>
      </c>
      <c r="F63" s="5">
        <v>0.6</v>
      </c>
      <c r="G63" s="4">
        <f t="shared" si="7"/>
        <v>192</v>
      </c>
    </row>
    <row r="64" spans="1:7" x14ac:dyDescent="0.25">
      <c r="B64" s="8" t="s">
        <v>32</v>
      </c>
      <c r="C64" s="4">
        <v>40</v>
      </c>
      <c r="D64" s="4">
        <v>2</v>
      </c>
      <c r="E64" s="4">
        <f t="shared" si="6"/>
        <v>80</v>
      </c>
      <c r="F64" s="5">
        <v>0.6</v>
      </c>
      <c r="G64" s="4">
        <f t="shared" si="7"/>
        <v>48</v>
      </c>
    </row>
    <row r="65" spans="1:7" x14ac:dyDescent="0.25">
      <c r="B65" s="8" t="s">
        <v>34</v>
      </c>
      <c r="C65" s="4">
        <v>40</v>
      </c>
      <c r="D65" s="4">
        <v>23</v>
      </c>
      <c r="E65" s="4">
        <f t="shared" si="6"/>
        <v>920</v>
      </c>
      <c r="F65" s="5">
        <v>0.6</v>
      </c>
      <c r="G65" s="4">
        <f t="shared" si="7"/>
        <v>552</v>
      </c>
    </row>
    <row r="66" spans="1:7" x14ac:dyDescent="0.25">
      <c r="B66" s="8" t="s">
        <v>24</v>
      </c>
      <c r="C66" s="4">
        <v>30</v>
      </c>
      <c r="D66" s="4">
        <v>2</v>
      </c>
      <c r="E66" s="4">
        <f t="shared" si="6"/>
        <v>60</v>
      </c>
      <c r="F66" s="5">
        <v>1</v>
      </c>
      <c r="G66" s="4">
        <f t="shared" si="7"/>
        <v>60</v>
      </c>
    </row>
    <row r="67" spans="1:7" x14ac:dyDescent="0.25">
      <c r="B67" s="8" t="s">
        <v>25</v>
      </c>
      <c r="C67" s="4">
        <v>50</v>
      </c>
      <c r="D67" s="4">
        <v>1</v>
      </c>
      <c r="E67" s="4">
        <f t="shared" si="6"/>
        <v>50</v>
      </c>
      <c r="F67" s="5">
        <v>1</v>
      </c>
      <c r="G67" s="4">
        <f t="shared" si="7"/>
        <v>50</v>
      </c>
    </row>
    <row r="68" spans="1:7" x14ac:dyDescent="0.25">
      <c r="B68" s="8" t="s">
        <v>23</v>
      </c>
      <c r="C68" s="4">
        <v>40</v>
      </c>
      <c r="D68" s="4">
        <v>3</v>
      </c>
      <c r="E68" s="4">
        <f t="shared" si="6"/>
        <v>120</v>
      </c>
      <c r="F68" s="5">
        <v>0.6</v>
      </c>
      <c r="G68" s="4">
        <f t="shared" si="7"/>
        <v>72</v>
      </c>
    </row>
    <row r="69" spans="1:7" x14ac:dyDescent="0.25">
      <c r="A69" s="3" t="s">
        <v>22</v>
      </c>
      <c r="B69" s="10" t="s">
        <v>19</v>
      </c>
      <c r="C69" s="10"/>
      <c r="D69" s="10"/>
      <c r="E69" s="10"/>
      <c r="F69" s="10"/>
      <c r="G69" s="10"/>
    </row>
    <row r="70" spans="1:7" x14ac:dyDescent="0.25">
      <c r="B70" s="8" t="s">
        <v>20</v>
      </c>
      <c r="C70" s="4">
        <v>300</v>
      </c>
      <c r="D70" s="4">
        <v>2</v>
      </c>
      <c r="E70" s="4">
        <f>PRODUCT(C70,D70)</f>
        <v>600</v>
      </c>
      <c r="F70" s="5">
        <v>0.5</v>
      </c>
      <c r="G70" s="4">
        <f t="shared" si="7"/>
        <v>300</v>
      </c>
    </row>
    <row r="71" spans="1:7" x14ac:dyDescent="0.25">
      <c r="B71" s="8" t="s">
        <v>21</v>
      </c>
      <c r="C71" s="4">
        <v>1000</v>
      </c>
      <c r="D71" s="4">
        <v>4</v>
      </c>
      <c r="E71" s="4">
        <f>PRODUCT(C71,D71)</f>
        <v>4000</v>
      </c>
      <c r="F71" s="5">
        <v>0.5</v>
      </c>
      <c r="G71" s="4">
        <f t="shared" si="7"/>
        <v>2000</v>
      </c>
    </row>
    <row r="72" spans="1:7" x14ac:dyDescent="0.25">
      <c r="A72" s="3" t="s">
        <v>12</v>
      </c>
      <c r="B72" s="10" t="s">
        <v>29</v>
      </c>
      <c r="C72" s="10"/>
      <c r="D72" s="10"/>
      <c r="E72" s="10"/>
      <c r="F72" s="10"/>
      <c r="G72" s="10"/>
    </row>
    <row r="73" spans="1:7" x14ac:dyDescent="0.25">
      <c r="B73" s="8" t="s">
        <v>30</v>
      </c>
      <c r="C73" s="4">
        <v>36</v>
      </c>
      <c r="D73" s="4">
        <v>7</v>
      </c>
      <c r="E73" s="4">
        <f>PRODUCT(C73,D73)</f>
        <v>252</v>
      </c>
      <c r="F73" s="5">
        <v>0.6</v>
      </c>
      <c r="G73" s="4">
        <f t="shared" si="7"/>
        <v>151.19999999999999</v>
      </c>
    </row>
    <row r="74" spans="1:7" x14ac:dyDescent="0.25">
      <c r="A74" s="3" t="s">
        <v>17</v>
      </c>
      <c r="B74" s="10" t="s">
        <v>26</v>
      </c>
      <c r="C74" s="10"/>
      <c r="D74" s="10"/>
      <c r="E74" s="10"/>
      <c r="F74" s="10"/>
      <c r="G74" s="10"/>
    </row>
    <row r="75" spans="1:7" x14ac:dyDescent="0.25">
      <c r="B75" s="8" t="s">
        <v>11</v>
      </c>
      <c r="C75" s="4">
        <v>3000</v>
      </c>
      <c r="D75" s="4">
        <v>2</v>
      </c>
      <c r="E75" s="4">
        <f t="shared" ref="E75:E76" si="8">PRODUCT(C75,D75)</f>
        <v>6000</v>
      </c>
      <c r="F75" s="5">
        <v>1</v>
      </c>
      <c r="G75" s="4">
        <f t="shared" si="7"/>
        <v>6000</v>
      </c>
    </row>
    <row r="76" spans="1:7" x14ac:dyDescent="0.25">
      <c r="B76" s="8" t="s">
        <v>27</v>
      </c>
      <c r="C76" s="4">
        <v>1500</v>
      </c>
      <c r="D76" s="4">
        <v>1</v>
      </c>
      <c r="E76" s="4">
        <f t="shared" si="8"/>
        <v>1500</v>
      </c>
      <c r="F76" s="5">
        <v>1</v>
      </c>
      <c r="G76" s="4">
        <f t="shared" si="7"/>
        <v>1500</v>
      </c>
    </row>
    <row r="77" spans="1:7" x14ac:dyDescent="0.25">
      <c r="A77" s="11" t="s">
        <v>41</v>
      </c>
      <c r="B77" s="11"/>
      <c r="C77" s="11"/>
      <c r="D77" s="11"/>
      <c r="E77" s="11"/>
      <c r="F77" s="11"/>
      <c r="G77" s="4">
        <f>SUM(G59:G76)</f>
        <v>11762.2</v>
      </c>
    </row>
    <row r="78" spans="1:7" x14ac:dyDescent="0.25">
      <c r="A78" s="1"/>
      <c r="B78" s="1"/>
      <c r="C78" s="1"/>
      <c r="D78" s="1"/>
      <c r="E78" s="11" t="s">
        <v>42</v>
      </c>
      <c r="F78" s="11"/>
      <c r="G78" s="3">
        <f>SUM(G77+(G77*(10/100)))</f>
        <v>12938.42</v>
      </c>
    </row>
    <row r="79" spans="1:7" x14ac:dyDescent="0.25">
      <c r="A79" s="1"/>
      <c r="B79" s="1"/>
      <c r="C79" s="11" t="s">
        <v>43</v>
      </c>
      <c r="D79" s="11"/>
      <c r="E79" s="11"/>
      <c r="F79" s="11"/>
      <c r="G79" s="3">
        <f>G78/(1.732050808*415*0.8)</f>
        <v>22.500000807316532</v>
      </c>
    </row>
    <row r="80" spans="1:7" x14ac:dyDescent="0.25">
      <c r="A80" s="1"/>
      <c r="B80" s="1"/>
      <c r="C80" s="1"/>
      <c r="D80" s="1"/>
      <c r="E80" s="11" t="s">
        <v>44</v>
      </c>
      <c r="F80" s="11"/>
      <c r="G80" s="3">
        <f>SUM(G79)+(G79*0.25)</f>
        <v>28.125001009145663</v>
      </c>
    </row>
    <row r="81" spans="1:7" x14ac:dyDescent="0.25">
      <c r="A81" s="1"/>
      <c r="B81" s="1"/>
      <c r="C81" s="11" t="s">
        <v>52</v>
      </c>
      <c r="D81" s="11"/>
      <c r="E81" s="11"/>
      <c r="F81" s="11"/>
      <c r="G81" s="11"/>
    </row>
    <row r="82" spans="1:7" x14ac:dyDescent="0.25">
      <c r="A82" s="1"/>
      <c r="B82" s="1"/>
      <c r="C82" s="1"/>
      <c r="D82" s="11" t="s">
        <v>47</v>
      </c>
      <c r="E82" s="11"/>
      <c r="F82" s="11"/>
      <c r="G82" s="11"/>
    </row>
  </sheetData>
  <mergeCells count="41">
    <mergeCell ref="D82:G82"/>
    <mergeCell ref="E16:G16"/>
    <mergeCell ref="A1:G1"/>
    <mergeCell ref="A2:G2"/>
    <mergeCell ref="A11:F11"/>
    <mergeCell ref="E12:F12"/>
    <mergeCell ref="C13:F13"/>
    <mergeCell ref="A77:F77"/>
    <mergeCell ref="D17:F17"/>
    <mergeCell ref="A23:F23"/>
    <mergeCell ref="E24:F24"/>
    <mergeCell ref="C25:F25"/>
    <mergeCell ref="E26:F26"/>
    <mergeCell ref="E27:G27"/>
    <mergeCell ref="E50:F50"/>
    <mergeCell ref="C51:F51"/>
    <mergeCell ref="E78:F78"/>
    <mergeCell ref="C79:F79"/>
    <mergeCell ref="E80:F80"/>
    <mergeCell ref="C81:G81"/>
    <mergeCell ref="B20:G20"/>
    <mergeCell ref="E52:F52"/>
    <mergeCell ref="E53:G53"/>
    <mergeCell ref="A56:G56"/>
    <mergeCell ref="D28:G28"/>
    <mergeCell ref="B4:G4"/>
    <mergeCell ref="B58:G58"/>
    <mergeCell ref="B72:G72"/>
    <mergeCell ref="B74:G74"/>
    <mergeCell ref="B31:G31"/>
    <mergeCell ref="D54:G54"/>
    <mergeCell ref="B69:G69"/>
    <mergeCell ref="B39:G39"/>
    <mergeCell ref="B45:G45"/>
    <mergeCell ref="B47:G47"/>
    <mergeCell ref="B42:G42"/>
    <mergeCell ref="A49:F49"/>
    <mergeCell ref="A29:G29"/>
    <mergeCell ref="E14:F14"/>
    <mergeCell ref="E15:G15"/>
    <mergeCell ref="A18:G18"/>
  </mergeCells>
  <printOptions horizontalCentered="1" verticalCentered="1"/>
  <pageMargins left="0.7" right="0.7" top="0.75" bottom="0.75" header="0.3" footer="0.3"/>
  <pageSetup paperSize="9" scale="6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Izaya Rais</dc:creator>
  <cp:lastModifiedBy>Izaya Rais</cp:lastModifiedBy>
  <cp:lastPrinted>2023-12-02T21:09:42Z</cp:lastPrinted>
  <dcterms:created xsi:type="dcterms:W3CDTF">2023-12-01T19:35:52Z</dcterms:created>
  <dcterms:modified xsi:type="dcterms:W3CDTF">2023-12-02T21:09:46Z</dcterms:modified>
</cp:coreProperties>
</file>